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Meetings" sheetId="2" r:id="rId6"/>
    <sheet state="visible" name="Summary" sheetId="3" r:id="rId7"/>
    <sheet state="visible" name="Date Log" sheetId="4" r:id="rId8"/>
  </sheets>
  <definedNames>
    <definedName name="T_StudentDalton">#REF!</definedName>
    <definedName hidden="1" localSheetId="0" name="_xlnm._FilterDatabase">Current!$A$1:$L$1</definedName>
  </definedNames>
  <calcPr/>
</workbook>
</file>

<file path=xl/sharedStrings.xml><?xml version="1.0" encoding="utf-8"?>
<sst xmlns="http://schemas.openxmlformats.org/spreadsheetml/2006/main" count="41" uniqueCount="38">
  <si>
    <t>Student ID</t>
  </si>
  <si>
    <t>Meeting ID</t>
  </si>
  <si>
    <t>First Name</t>
  </si>
  <si>
    <t>Meeting Name</t>
  </si>
  <si>
    <t>Date</t>
  </si>
  <si>
    <t>Last Name</t>
  </si>
  <si>
    <t>Start Time</t>
  </si>
  <si>
    <t>End Time</t>
  </si>
  <si>
    <t>Status</t>
  </si>
  <si>
    <t>Manual End</t>
  </si>
  <si>
    <t>Email</t>
  </si>
  <si>
    <t>Role</t>
  </si>
  <si>
    <t>Gender</t>
  </si>
  <si>
    <t>Last Login</t>
  </si>
  <si>
    <t>Last Logout</t>
  </si>
  <si>
    <t>Hours</t>
  </si>
  <si>
    <t>Total Hours</t>
  </si>
  <si>
    <t>Logged In?</t>
  </si>
  <si>
    <t>Ethnicity</t>
  </si>
  <si>
    <t>Est. Total Hours</t>
  </si>
  <si>
    <t>Avg Hours</t>
  </si>
  <si>
    <t>Highest Hours</t>
  </si>
  <si>
    <t>Graphs</t>
  </si>
  <si>
    <t/>
  </si>
  <si>
    <t>Totals:</t>
  </si>
  <si>
    <t>Female</t>
  </si>
  <si>
    <t>Male</t>
  </si>
  <si>
    <t>Other</t>
  </si>
  <si>
    <t>Male to Female Members</t>
  </si>
  <si>
    <t>Ethnicity Breakup</t>
  </si>
  <si>
    <t>Caucasian</t>
  </si>
  <si>
    <t>Latin American</t>
  </si>
  <si>
    <t>Mentor</t>
  </si>
  <si>
    <t>Student</t>
  </si>
  <si>
    <t xml:space="preserve">Student to Mentor Members
</t>
  </si>
  <si>
    <t>Mixed</t>
  </si>
  <si>
    <t>African American</t>
  </si>
  <si>
    <t>Growth vs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</si>
</sst>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sz val="36.0"/>
      <color rgb="FF000000"/>
      <name val="Arial"/>
      <scheme val="minor"/>
    </font>
    <font>
      <sz val="36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6" xfId="0" applyFont="1" applyNumberFormat="1"/>
    <xf borderId="0" fillId="0" fontId="4" numFmtId="0" xfId="0" applyFont="1"/>
    <xf borderId="0" fillId="3" fontId="4" numFmtId="0" xfId="0" applyFill="1" applyFont="1"/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4" fontId="7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7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Summary!$A$4:$B$4</c:f>
            </c:strRef>
          </c:cat>
          <c:val>
            <c:numRef>
              <c:f>Summary!$A$5:$B$5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Summary!$A$6:$B$6</c:f>
            </c:strRef>
          </c:cat>
          <c:val>
            <c:numRef>
              <c:f>Summary!$A$7:$B$7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Summary!$F$5:$G$5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4</xdr:row>
      <xdr:rowOff>57150</xdr:rowOff>
    </xdr:from>
    <xdr:ext cx="2466975" cy="152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200025</xdr:colOff>
      <xdr:row>6</xdr:row>
      <xdr:rowOff>28575</xdr:rowOff>
    </xdr:from>
    <xdr:ext cx="2466975" cy="1524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47625</xdr:colOff>
      <xdr:row>3</xdr:row>
      <xdr:rowOff>276225</xdr:rowOff>
    </xdr:from>
    <xdr:ext cx="2466975" cy="1524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4.38"/>
    <col customWidth="1" min="4" max="4" width="21.88"/>
    <col customWidth="1" min="5" max="5" width="14.38"/>
    <col customWidth="1" min="6" max="6" width="11.38"/>
    <col customWidth="1" min="7" max="7" width="24.13"/>
    <col customWidth="1" min="8" max="26" width="14.38"/>
  </cols>
  <sheetData>
    <row r="1" ht="15.75" customHeight="1">
      <c r="A1" s="1" t="s">
        <v>0</v>
      </c>
      <c r="B1" s="1" t="s">
        <v>2</v>
      </c>
      <c r="C1" s="1" t="s">
        <v>5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>
      <c r="J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L$1"/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88"/>
    <col customWidth="1" min="7" max="7" width="18.7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C2" s="4"/>
      <c r="D2" s="5"/>
      <c r="E2" s="5"/>
      <c r="F2" s="7"/>
      <c r="G2" s="5"/>
    </row>
    <row r="3">
      <c r="C3" s="4"/>
      <c r="D3" s="5"/>
      <c r="E3" s="5"/>
      <c r="F3" s="7"/>
    </row>
    <row r="4">
      <c r="C4" s="8"/>
      <c r="D4" s="5"/>
      <c r="E4" s="5"/>
      <c r="F4" s="7"/>
      <c r="G4" s="5"/>
    </row>
    <row r="5">
      <c r="F5" s="7"/>
    </row>
    <row r="6">
      <c r="F6" s="7"/>
    </row>
    <row r="7">
      <c r="F7" s="7"/>
    </row>
    <row r="8">
      <c r="F8" s="7"/>
    </row>
    <row r="9">
      <c r="F9" s="7"/>
    </row>
    <row r="10">
      <c r="F10" s="7"/>
    </row>
    <row r="11">
      <c r="F11" s="7"/>
    </row>
    <row r="12">
      <c r="F12" s="7"/>
    </row>
    <row r="13">
      <c r="F13" s="7"/>
    </row>
    <row r="14">
      <c r="F14" s="7"/>
    </row>
    <row r="15">
      <c r="F15" s="7"/>
    </row>
    <row r="16">
      <c r="F16" s="7"/>
    </row>
    <row r="17">
      <c r="F17" s="7"/>
    </row>
    <row r="18">
      <c r="F18" s="7"/>
    </row>
    <row r="19">
      <c r="F19" s="7"/>
    </row>
    <row r="20">
      <c r="F20" s="7"/>
    </row>
    <row r="21">
      <c r="F21" s="7"/>
    </row>
    <row r="22">
      <c r="F22" s="7"/>
    </row>
    <row r="23">
      <c r="F23" s="7"/>
    </row>
    <row r="24">
      <c r="F24" s="7"/>
    </row>
    <row r="25">
      <c r="F25" s="7"/>
    </row>
    <row r="26">
      <c r="F26" s="7"/>
    </row>
    <row r="27">
      <c r="F27" s="7"/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</sheetData>
  <dataValidations>
    <dataValidation type="list" allowBlank="1" showErrorMessage="1" sqref="F2:F94">
      <formula1>"ACTIVE,ENDED"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24.88"/>
    <col customWidth="1" min="3" max="3" width="26.25"/>
    <col customWidth="1" min="4" max="4" width="45.88"/>
    <col customWidth="1" hidden="1" min="5" max="5" width="39.75"/>
    <col customWidth="1" hidden="1" min="6" max="6" width="22.13"/>
    <col customWidth="1" hidden="1" min="7" max="7" width="30.13"/>
    <col customWidth="1" min="8" max="26" width="14.38"/>
  </cols>
  <sheetData>
    <row r="1" ht="31.5" customHeight="1">
      <c r="A1" s="10" t="s">
        <v>19</v>
      </c>
      <c r="B1" s="10" t="s">
        <v>20</v>
      </c>
      <c r="C1" s="10" t="s">
        <v>21</v>
      </c>
      <c r="D1" s="11" t="s">
        <v>22</v>
      </c>
    </row>
    <row r="2" ht="15.75" customHeight="1">
      <c r="A2" s="12">
        <f>IFERROR(__xludf.DUMMYFUNCTION("SUM(index(SPLIT(IF(ISBLANK(Current!J2:J999),""0:0"",Current!J2:J999), "":""), 0, 1))"),0.0)</f>
        <v>0</v>
      </c>
      <c r="B2" s="12" t="str">
        <f>IFERROR(__xludf.DUMMYFUNCTION("AVERAGEIF(index(SPLIT(#REF!, "":""), 0, 1), ""&gt;0"")"),"#DIV/0!")</f>
        <v>#DIV/0!</v>
      </c>
      <c r="C2" s="12">
        <f>IFERROR(__xludf.DUMMYFUNCTION("MAX(index(SPLIT(IF(ISBLANK(Current!J2:J16),""0:0"",Current!J2:J16), "":""), 0, 1))"),0.0)</f>
        <v>0</v>
      </c>
    </row>
    <row r="3" ht="15.75" customHeight="1"/>
    <row r="4" ht="21.75" customHeight="1">
      <c r="A4" s="10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</row>
    <row r="5" ht="129.75" customHeight="1">
      <c r="A5" s="13">
        <f>COUNTIF(Current!F2:F999,"=*"&amp;"FEMALE"&amp;"*")</f>
        <v>0</v>
      </c>
      <c r="B5" s="14">
        <f>COUNTIF(Current!F2:F999,"=*"&amp;"MALE"&amp;"*") - A5 - C5</f>
        <v>0</v>
      </c>
      <c r="C5" s="14">
        <f>COUNTIF(Current!F2:F999,"=*"&amp;"OTHER"&amp;"*")</f>
        <v>0</v>
      </c>
      <c r="F5" s="15">
        <f>COUNTIF(Current!L2:L999,"=*"&amp;"Caucasian"&amp;"*")</f>
        <v>0</v>
      </c>
      <c r="G5" s="16">
        <f>COUNTIF(Current!L2:L999,"=*"&amp;"Latin American"&amp;"*")</f>
        <v>0</v>
      </c>
    </row>
    <row r="6" ht="27.75" customHeight="1">
      <c r="A6" s="10" t="s">
        <v>32</v>
      </c>
      <c r="B6" s="10" t="s">
        <v>33</v>
      </c>
      <c r="D6" s="10" t="s">
        <v>34</v>
      </c>
      <c r="F6" s="10" t="s">
        <v>35</v>
      </c>
      <c r="G6" s="10" t="s">
        <v>36</v>
      </c>
    </row>
    <row r="7" ht="129.75" customHeight="1">
      <c r="A7" s="14">
        <f>COUNTIF(Current!E2:E999,"=*"&amp;"MENTOR"&amp;"*")</f>
        <v>0</v>
      </c>
      <c r="B7" s="14">
        <f>COUNTIF(Current!E2:E999,"=*"&amp;"STUDENT"&amp;"*")</f>
        <v>0</v>
      </c>
      <c r="F7" s="17">
        <f>COUNTIF(Current!L2:L999,"=*"&amp;"Mixed"&amp;"*")</f>
        <v>0</v>
      </c>
      <c r="G7" s="18">
        <f>COUNTIF(Current!L2:L999,"=*"&amp;"African American"&amp;"*")</f>
        <v>0</v>
      </c>
    </row>
    <row r="8" ht="15.75" customHeight="1">
      <c r="D8" s="10" t="s">
        <v>37</v>
      </c>
    </row>
    <row r="9" ht="84.75" customHeight="1">
      <c r="D9" s="7"/>
    </row>
    <row r="10" ht="15.75" customHeight="1"/>
    <row r="11" ht="15.75" customHeight="1"/>
    <row r="12" ht="15.75" customHeight="1"/>
    <row r="13" ht="20.2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extLst>
    <ext uri="{05C60535-1F16-4fd2-B633-F4F36F0B64E0}">
      <x14:sparklineGroups>
        <x14:sparklineGroup lineWeight="4.0" displayEmptyCellsAs="gap">
          <x14:colorSeries rgb="FF008000"/>
          <x14:sparklines>
            <x14:sparkline>
              <xm:f>'Date Log'!296:296</xm:f>
              <xm:sqref>D9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21" width="14.38"/>
  </cols>
  <sheetData>
    <row r="1" ht="25.5" customHeight="1">
      <c r="A1" s="1" t="s">
        <v>0</v>
      </c>
      <c r="B1" s="1" t="s">
        <v>2</v>
      </c>
      <c r="C1" s="1" t="s">
        <v>5</v>
      </c>
    </row>
    <row r="2" ht="15.75" customHeight="1"/>
    <row r="3" ht="15.75" customHeight="1"/>
    <row r="4" ht="15.75" customHeight="1">
      <c r="C4" s="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>
      <c r="A296" s="9" t="str">
        <f t="array" ref="A296:E296">{{"","","Totals:"},TRANSPOSE(MMULT(TRANSPOSE(TIMEVALUE(IF(INDIRECT("D2:"&amp;ADDRESS(ROW()-1,COUNTA(1:1),4))="","0:0:0",INDIRECT("D2:"&amp;ADDRESS(ROW()-1,COUNTA(1:1),4))))),ROW(INDIRECT("A2:A"&amp;ROW()-1))^0))}</f>
        <v/>
      </c>
      <c r="B296" s="9" t="s">
        <v>23</v>
      </c>
      <c r="C296" s="9" t="s">
        <v>24</v>
      </c>
      <c r="D296" s="9">
        <v>0.0</v>
      </c>
      <c r="E296" s="9">
        <v>0.0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</sheetData>
  <drawing r:id="rId1"/>
</worksheet>
</file>